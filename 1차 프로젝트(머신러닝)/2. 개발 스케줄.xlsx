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F47A80D7871CB125/1차 Proejct/"/>
    </mc:Choice>
  </mc:AlternateContent>
  <xr:revisionPtr revIDLastSave="0" documentId="8_{A49A1C92-A84C-46BB-AC98-519CD3844143}" xr6:coauthVersionLast="47" xr6:coauthVersionMax="47" xr10:uidLastSave="{00000000-0000-0000-0000-000000000000}"/>
  <bookViews>
    <workbookView xWindow="-86" yWindow="0" windowWidth="11143" windowHeight="13080" xr2:uid="{00000000-000D-0000-FFFF-FFFF00000000}"/>
    <workbookView xWindow="-103" yWindow="-103" windowWidth="22149" windowHeight="13200" firstSheet="1" activeTab="1" xr2:uid="{8A835088-4F78-478E-8054-0F8797C92317}"/>
  </bookViews>
  <sheets>
    <sheet name="Sheet1" sheetId="2" r:id="rId1"/>
    <sheet name="Template (2)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3" l="1"/>
  <c r="F24" i="3"/>
  <c r="F25" i="3"/>
  <c r="F20" i="3"/>
  <c r="F21" i="3"/>
  <c r="F17" i="3"/>
  <c r="F16" i="3"/>
  <c r="F12" i="3"/>
  <c r="F11" i="3"/>
  <c r="F13" i="3"/>
  <c r="F10" i="3"/>
  <c r="F9" i="3"/>
  <c r="F4" i="3"/>
  <c r="F29" i="3"/>
  <c r="F28" i="3"/>
  <c r="F30" i="3"/>
  <c r="F27" i="3"/>
  <c r="F23" i="3"/>
  <c r="F19" i="3"/>
  <c r="F15" i="3"/>
  <c r="E31" i="3"/>
  <c r="F8" i="3"/>
  <c r="E7" i="3"/>
  <c r="D7" i="3"/>
  <c r="F5" i="3"/>
  <c r="F6" i="3"/>
  <c r="E3" i="3"/>
  <c r="D3" i="3"/>
  <c r="F3" i="3" l="1"/>
  <c r="F18" i="3"/>
  <c r="F7" i="3"/>
  <c r="F14" i="3"/>
  <c r="F26" i="3"/>
  <c r="F22" i="3"/>
  <c r="F31" i="3" l="1"/>
</calcChain>
</file>

<file path=xl/sharedStrings.xml><?xml version="1.0" encoding="utf-8"?>
<sst xmlns="http://schemas.openxmlformats.org/spreadsheetml/2006/main" count="139" uniqueCount="109">
  <si>
    <t>ID</t>
  </si>
  <si>
    <t>항목</t>
  </si>
  <si>
    <t>세부 내용</t>
  </si>
  <si>
    <t>시작일</t>
  </si>
  <si>
    <t>마감일</t>
  </si>
  <si>
    <t>기간</t>
  </si>
  <si>
    <t>프로젝트 기획</t>
  </si>
  <si>
    <t>기획서 작성</t>
  </si>
  <si>
    <t>스케줄 작성</t>
  </si>
  <si>
    <t>화면설계서 작성</t>
  </si>
  <si>
    <t>데이터 준비</t>
  </si>
  <si>
    <t>환경/보건/인구 데이터 수집 및 확인</t>
  </si>
  <si>
    <t>자치구 기준 데이터 통합</t>
  </si>
  <si>
    <t>기간 기준 통일(연/월 정리)</t>
  </si>
  <si>
    <t>분석용 테이블 구성</t>
  </si>
  <si>
    <t>EDA 및 결측치 처리</t>
  </si>
  <si>
    <t>형식/단위 통일 및 feature 생성</t>
  </si>
  <si>
    <t>DB 구축</t>
  </si>
  <si>
    <t>DB 테이블 설계</t>
  </si>
  <si>
    <t>데이터 적재 및 조회 확인</t>
  </si>
  <si>
    <t>분석 결과 저장 구조 준비</t>
  </si>
  <si>
    <t>UI 기본 구현</t>
  </si>
  <si>
    <t>대시보드 화면 틀 구성</t>
  </si>
  <si>
    <t>지역 상세 화면 틀 구성</t>
  </si>
  <si>
    <t>분석/XAI 화면 틀 구성</t>
  </si>
  <si>
    <t>머신러닝 분석</t>
  </si>
  <si>
    <t>K-Means 적용</t>
  </si>
  <si>
    <t>군집 수 설정 및 비교</t>
  </si>
  <si>
    <t>군집 결과 시각화 및 유형 정의</t>
  </si>
  <si>
    <t>SHAP 적용 및 영향도 분석</t>
  </si>
  <si>
    <t>서비스 구현</t>
  </si>
  <si>
    <t>DB-화면 연동</t>
  </si>
  <si>
    <t>군집 결과 화면 연결</t>
  </si>
  <si>
    <t>자치구별 상세 분석 기능 구현</t>
  </si>
  <si>
    <t>XAI 시각화 및 정책 정보 구성</t>
  </si>
  <si>
    <t>마무리</t>
  </si>
  <si>
    <t>테스트 및 수정</t>
  </si>
  <si>
    <t>| 6.2 | 군집화 모델 구축 | 군집 개수 설정 및 비교 | 2026-04-03 | 2026-04-04 | 2 |</t>
  </si>
  <si>
    <t>| 6.3 | 군집화 모델 구축 | 군집 결과 시각화 및 검증 | 2026-04-05 | 2026-04-05 | 1 |</t>
  </si>
  <si>
    <t>| 7 | 프로파일링 | 군집별 특징 분석 | 2026-04-06 | 2026-04-07 | 2 |</t>
  </si>
  <si>
    <t>| 7.1 | 프로파일링 | 군집별 특징 분석 | 2026-04-06 | 2026-04-07 | 2 |</t>
  </si>
  <si>
    <t>| 7.2 | 프로파일링 | 유형 정의 | 2026-04-08 | 2026-04-08 | 1 |</t>
  </si>
  <si>
    <t>| 8 | XAI 분석 | SHAP 적용 | 2026-04-09 | 2026-04-10 | 2 |</t>
  </si>
  <si>
    <t>| 8.1 | XAI 분석 | SHAP 적용 | 2026-04-09 | 2026-04-10 | 2 |</t>
  </si>
  <si>
    <t>| 8.2 | XAI 분석 | 변수 영향도 분석 | 2026-04-11 | 2026-04-11 | 1 |</t>
  </si>
  <si>
    <t>| 8.3 | XAI 분석 | 자치구별 원인 분석 및 시각화 | 2026-04-12 | 2026-04-12 | 1 |</t>
  </si>
  <si>
    <t>| 9 | 결과 분석 및 시각화 | 군집 결과 해석 | 2026-04-13 | 2026-04-13 | 1 |</t>
  </si>
  <si>
    <t>| 9.1 | 결과 분석 및 시각화 | 군집 결과 해석 | 2026-04-13 | 2026-04-13 | 1 |</t>
  </si>
  <si>
    <t>| 9.2 | 결과 분석 및 시각화 | 정책 방향 도출 | 2026-04-14 | 2026-04-14 | 1 |</t>
  </si>
  <si>
    <t>| 10 | 서비스 구현 | 결과 시각화 구성 | 2026-04-15 | 2026-04-16 | 2 |</t>
  </si>
  <si>
    <t>| 10.1 | 서비스 구현 | 대시보드 화면 구성 | 2026-04-15 | 2026-04-15 | 1 |</t>
  </si>
  <si>
    <t>| 10.2 | 서비스 구현 | 지역 상세 분석 화면 구현 | 2026-04-15 | 2026-04-15 | 1 |</t>
  </si>
  <si>
    <t>| 10.3 | 서비스 구현 | 원인 분석(XAI) 시각화 구현 | 2026-04-15 | 2026-04-16 | 1 |</t>
  </si>
  <si>
    <t>| 10.4 | 서비스 구현 | 정책 지원 정보 구성 | 2026-04-16 | 2026-04-16 | 1 |</t>
  </si>
  <si>
    <t>| 11 | 테스트 및 최종 정리 | 시스템 테스트 및 오류 수정 | 2026-04-16 | 2026-04-16 | 1 |</t>
  </si>
  <si>
    <t>| 11.1 | 테스트 및 최종 정리 | 시스템 테스트 및 오류 수정 | 2026-04-16 | 2026-04-16 | 1 |</t>
  </si>
  <si>
    <t>| 11.2 | 테스트 및 최종 정리 | 최종 발표 자료 작성 | 2026-04-17 | 2026-04-17 | 1 |</t>
  </si>
  <si>
    <t>ID.</t>
    <phoneticPr fontId="1" type="noConversion"/>
  </si>
  <si>
    <t>항목</t>
    <phoneticPr fontId="1" type="noConversion"/>
  </si>
  <si>
    <t>프로젝트 기획</t>
    <phoneticPr fontId="1" type="noConversion"/>
  </si>
  <si>
    <t>기획서 작성</t>
    <phoneticPr fontId="1" type="noConversion"/>
  </si>
  <si>
    <t>스케줄표 작성</t>
    <phoneticPr fontId="1" type="noConversion"/>
  </si>
  <si>
    <t>화면 설계서 작성</t>
    <phoneticPr fontId="1" type="noConversion"/>
  </si>
  <si>
    <t>데이터 수집</t>
    <phoneticPr fontId="1" type="noConversion"/>
  </si>
  <si>
    <t>환경/보건/인구 데이터 확보</t>
    <phoneticPr fontId="1" type="noConversion"/>
  </si>
  <si>
    <t>데이터 확보</t>
    <phoneticPr fontId="1" type="noConversion"/>
  </si>
  <si>
    <t>데이터 전처리 (EDA) 포함</t>
    <phoneticPr fontId="1" type="noConversion"/>
  </si>
  <si>
    <t>데이터 전처리(EDA) 포함</t>
    <phoneticPr fontId="1" type="noConversion"/>
  </si>
  <si>
    <t>데이터 구조 확인 및 통합</t>
    <phoneticPr fontId="1" type="noConversion"/>
  </si>
  <si>
    <t>구조 확인 및 통합</t>
    <phoneticPr fontId="1" type="noConversion"/>
  </si>
  <si>
    <t>기간 기준 통일 (연/월 정리)</t>
    <phoneticPr fontId="1" type="noConversion"/>
  </si>
  <si>
    <t>기준 통일</t>
    <phoneticPr fontId="1" type="noConversion"/>
  </si>
  <si>
    <t>결측치 처리 및 데이터 정제</t>
    <phoneticPr fontId="1" type="noConversion"/>
  </si>
  <si>
    <t>처리 및 정제</t>
    <phoneticPr fontId="1" type="noConversion"/>
  </si>
  <si>
    <t>Feature 생성 및 정규화</t>
    <phoneticPr fontId="1" type="noConversion"/>
  </si>
  <si>
    <t>생성 및 정규화</t>
    <phoneticPr fontId="1" type="noConversion"/>
  </si>
  <si>
    <t>DB 설계 및 구축</t>
    <phoneticPr fontId="1" type="noConversion"/>
  </si>
  <si>
    <t>테이블 및 컬럼 정의</t>
    <phoneticPr fontId="1" type="noConversion"/>
  </si>
  <si>
    <t>테이블 정의</t>
    <phoneticPr fontId="1" type="noConversion"/>
  </si>
  <si>
    <t>DB 구축 및 데이터 적제</t>
    <phoneticPr fontId="1" type="noConversion"/>
  </si>
  <si>
    <t>데이터 조회 및 검증</t>
    <phoneticPr fontId="1" type="noConversion"/>
  </si>
  <si>
    <t>조회 및 검증</t>
    <phoneticPr fontId="1" type="noConversion"/>
  </si>
  <si>
    <t>UI 기본 구성 (틀만)</t>
    <phoneticPr fontId="1" type="noConversion"/>
  </si>
  <si>
    <t>UI 기본 구성</t>
    <phoneticPr fontId="1" type="noConversion"/>
  </si>
  <si>
    <t>웹화면 구조 설계</t>
    <phoneticPr fontId="1" type="noConversion"/>
  </si>
  <si>
    <t>웹화면 설계</t>
    <phoneticPr fontId="1" type="noConversion"/>
  </si>
  <si>
    <t>대시보드 화면 틀 구성</t>
    <phoneticPr fontId="1" type="noConversion"/>
  </si>
  <si>
    <t>대시보드 구성</t>
    <phoneticPr fontId="1" type="noConversion"/>
  </si>
  <si>
    <t>지역 상세 화면 틀 구성</t>
    <phoneticPr fontId="1" type="noConversion"/>
  </si>
  <si>
    <t>상세화면 구성</t>
    <phoneticPr fontId="1" type="noConversion"/>
  </si>
  <si>
    <t>머신러닝 분석</t>
    <phoneticPr fontId="1" type="noConversion"/>
  </si>
  <si>
    <t>K-means 군집화 적용</t>
    <phoneticPr fontId="1" type="noConversion"/>
  </si>
  <si>
    <t>군집화 적용</t>
    <phoneticPr fontId="1" type="noConversion"/>
  </si>
  <si>
    <t>군집 결과 해석 및 유형 정의</t>
    <phoneticPr fontId="1" type="noConversion"/>
  </si>
  <si>
    <t>해석 및 정의</t>
    <phoneticPr fontId="1" type="noConversion"/>
  </si>
  <si>
    <t>SHAP 기반 영향도 분석</t>
    <phoneticPr fontId="1" type="noConversion"/>
  </si>
  <si>
    <t>영향도 분석</t>
    <phoneticPr fontId="1" type="noConversion"/>
  </si>
  <si>
    <t>서비스 구현</t>
    <phoneticPr fontId="1" type="noConversion"/>
  </si>
  <si>
    <t>DB 및 화면 연동</t>
    <phoneticPr fontId="1" type="noConversion"/>
  </si>
  <si>
    <t>DB 및 
화면 연동</t>
    <phoneticPr fontId="1" type="noConversion"/>
  </si>
  <si>
    <t>군집결과 시각화 구현</t>
    <phoneticPr fontId="1" type="noConversion"/>
  </si>
  <si>
    <t>군집화
시각화</t>
    <phoneticPr fontId="1" type="noConversion"/>
  </si>
  <si>
    <t>자치구 상세 분석기능 구현</t>
    <phoneticPr fontId="1" type="noConversion"/>
  </si>
  <si>
    <t>상세 분석기능</t>
    <phoneticPr fontId="1" type="noConversion"/>
  </si>
  <si>
    <t>XAI 시각화 및 정책 정보 구성</t>
    <phoneticPr fontId="1" type="noConversion"/>
  </si>
  <si>
    <t>XAI 시각화
정보 구성</t>
    <phoneticPr fontId="1" type="noConversion"/>
  </si>
  <si>
    <t>마무리</t>
    <phoneticPr fontId="1" type="noConversion"/>
  </si>
  <si>
    <t>전체 테스트 및 오류 수정</t>
    <phoneticPr fontId="1" type="noConversion"/>
  </si>
  <si>
    <t>테스트 수정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</si>
</sst>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m\/d\(aaa\)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Rix고딕 B"/>
      <family val="1"/>
      <charset val="129"/>
    </font>
    <font>
      <b/>
      <sz val="10"/>
      <color theme="1"/>
      <name val="Rix고딕 B"/>
      <family val="1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E6FE"/>
        <bgColor indexed="64"/>
      </patternFill>
    </fill>
    <fill>
      <patternFill patternType="solid">
        <fgColor rgb="FFE2E8FC"/>
        <bgColor indexed="64"/>
      </patternFill>
    </fill>
  </fills>
  <borders count="3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double">
        <color indexed="64"/>
      </top>
      <bottom style="thin">
        <color theme="1"/>
      </bottom>
      <diagonal/>
    </border>
    <border>
      <left style="thin">
        <color theme="1"/>
      </left>
      <right style="thin">
        <color theme="0" tint="-0.14996795556505021"/>
      </right>
      <top style="thin">
        <color theme="1"/>
      </top>
      <bottom style="thin">
        <color theme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 tint="-0.14996795556505021"/>
      </right>
      <top style="thin">
        <color theme="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1"/>
      </bottom>
      <diagonal/>
    </border>
    <border>
      <left style="thin">
        <color theme="0" tint="-0.14996795556505021"/>
      </left>
      <right/>
      <top style="medium">
        <color indexed="64"/>
      </top>
      <bottom style="thin">
        <color theme="1"/>
      </bottom>
      <diagonal/>
    </border>
    <border>
      <left/>
      <right style="thin">
        <color theme="0" tint="-0.14996795556505021"/>
      </right>
      <top style="medium">
        <color indexed="64"/>
      </top>
      <bottom style="thin">
        <color theme="1"/>
      </bottom>
      <diagonal/>
    </border>
    <border>
      <left style="thin">
        <color theme="0" tint="-0.14996795556505021"/>
      </left>
      <right/>
      <top style="thin">
        <color theme="1"/>
      </top>
      <bottom style="thin">
        <color theme="1"/>
      </bottom>
      <diagonal/>
    </border>
    <border>
      <left/>
      <right style="thin">
        <color theme="0" tint="-0.14996795556505021"/>
      </right>
      <top style="thin">
        <color theme="1"/>
      </top>
      <bottom style="thin">
        <color theme="1"/>
      </bottom>
      <diagonal/>
    </border>
    <border>
      <left style="thin">
        <color theme="0" tint="-0.14996795556505021"/>
      </left>
      <right/>
      <top style="thin">
        <color theme="1"/>
      </top>
      <bottom style="medium">
        <color indexed="64"/>
      </bottom>
      <diagonal/>
    </border>
    <border>
      <left/>
      <right style="thin">
        <color theme="0" tint="-0.1499679555650502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double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double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0" tint="-0.14996795556505021"/>
      </left>
      <right style="medium">
        <color indexed="64"/>
      </right>
      <top style="double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double">
        <color indexed="64"/>
      </top>
      <bottom style="thin">
        <color theme="1"/>
      </bottom>
      <diagonal/>
    </border>
    <border>
      <left/>
      <right/>
      <top style="double">
        <color indexed="64"/>
      </top>
      <bottom style="thin">
        <color theme="1"/>
      </bottom>
      <diagonal/>
    </border>
    <border>
      <left/>
      <right style="thin">
        <color theme="0" tint="-0.14996795556505021"/>
      </right>
      <top style="double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4" fillId="2" borderId="2" xfId="0" applyFont="1" applyFill="1" applyBorder="1" applyAlignment="1">
      <alignment horizontal="left" vertical="center"/>
    </xf>
    <xf numFmtId="176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176" fontId="3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176" fontId="3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 wrapText="1" indent="1"/>
    </xf>
    <xf numFmtId="0" fontId="3" fillId="5" borderId="6" xfId="0" applyFont="1" applyFill="1" applyBorder="1" applyAlignment="1">
      <alignment horizontal="center" vertical="center" shrinkToFit="1"/>
    </xf>
    <xf numFmtId="0" fontId="3" fillId="5" borderId="8" xfId="0" applyFont="1" applyFill="1" applyBorder="1" applyAlignment="1">
      <alignment horizontal="center" vertical="center" shrinkToFit="1"/>
    </xf>
    <xf numFmtId="0" fontId="4" fillId="6" borderId="16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177" fontId="3" fillId="6" borderId="17" xfId="0" applyNumberFormat="1" applyFont="1" applyFill="1" applyBorder="1" applyAlignment="1">
      <alignment horizontal="center" vertical="center" wrapText="1" shrinkToFit="1"/>
    </xf>
    <xf numFmtId="177" fontId="3" fillId="6" borderId="17" xfId="0" applyNumberFormat="1" applyFont="1" applyFill="1" applyBorder="1" applyAlignment="1">
      <alignment horizontal="center" vertical="center" shrinkToFit="1"/>
    </xf>
    <xf numFmtId="177" fontId="3" fillId="6" borderId="18" xfId="0" applyNumberFormat="1" applyFont="1" applyFill="1" applyBorder="1" applyAlignment="1">
      <alignment horizontal="center" vertical="center" shrinkToFit="1"/>
    </xf>
    <xf numFmtId="0" fontId="4" fillId="2" borderId="19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4" fontId="0" fillId="0" borderId="0" xfId="0" applyNumberFormat="1" applyAlignment="1">
      <alignment vertical="center" wrapText="1"/>
    </xf>
    <xf numFmtId="0" fontId="3" fillId="3" borderId="8" xfId="0" applyFont="1" applyFill="1" applyBorder="1" applyAlignment="1">
      <alignment horizontal="center" vertical="center" shrinkToFit="1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left" vertical="center" indent="1"/>
    </xf>
    <xf numFmtId="176" fontId="3" fillId="0" borderId="27" xfId="0" applyNumberFormat="1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7" borderId="6" xfId="0" applyFont="1" applyFill="1" applyBorder="1" applyAlignment="1">
      <alignment horizontal="center" vertical="center" shrinkToFit="1"/>
    </xf>
    <xf numFmtId="0" fontId="3" fillId="7" borderId="8" xfId="0" applyFont="1" applyFill="1" applyBorder="1" applyAlignment="1">
      <alignment horizontal="center" vertical="center" shrinkToFit="1"/>
    </xf>
    <xf numFmtId="0" fontId="3" fillId="8" borderId="6" xfId="0" applyFont="1" applyFill="1" applyBorder="1" applyAlignment="1">
      <alignment horizontal="center" vertical="center" shrinkToFit="1"/>
    </xf>
    <xf numFmtId="0" fontId="3" fillId="8" borderId="8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 shrinkToFit="1"/>
    </xf>
    <xf numFmtId="0" fontId="3" fillId="2" borderId="10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 shrinkToFit="1"/>
    </xf>
    <xf numFmtId="0" fontId="3" fillId="8" borderId="13" xfId="0" applyFont="1" applyFill="1" applyBorder="1" applyAlignment="1">
      <alignment horizontal="center" vertical="center" shrinkToFit="1"/>
    </xf>
    <xf numFmtId="0" fontId="3" fillId="3" borderId="12" xfId="0" applyFont="1" applyFill="1" applyBorder="1" applyAlignment="1">
      <alignment horizontal="center" vertical="center" shrinkToFit="1"/>
    </xf>
    <xf numFmtId="0" fontId="3" fillId="3" borderId="13" xfId="0" applyFont="1" applyFill="1" applyBorder="1" applyAlignment="1">
      <alignment horizontal="center" vertical="center" shrinkToFi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2E8FC"/>
      <color rgb="FFF2E6FE"/>
      <color rgb="FFEFFF3D"/>
      <color rgb="FFF2F9F9"/>
      <color rgb="FF040D38"/>
      <color rgb="FF003C30"/>
      <color rgb="FF85D446"/>
      <color rgb="FFE5D2FF"/>
      <color rgb="FFCAE2E5"/>
      <color rgb="FFC1D8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781DF-4F34-4982-803E-4C56D319A6EB}">
  <dimension ref="B2:G52"/>
  <sheetViews>
    <sheetView tabSelected="1" topLeftCell="B1" workbookViewId="0">
      <selection activeCell="C3" sqref="C3"/>
    </sheetView>
    <sheetView workbookViewId="1"/>
  </sheetViews>
  <sheetFormatPr defaultRowHeight="17.649999999999999"/>
  <cols>
    <col min="2" max="2" width="4.625" style="20" customWidth="1"/>
    <col min="3" max="3" width="24.25" customWidth="1"/>
    <col min="4" max="5" width="12.5" bestFit="1" customWidth="1"/>
    <col min="6" max="6" width="10.75" bestFit="1" customWidth="1"/>
  </cols>
  <sheetData>
    <row r="2" spans="2:7" ht="35.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>
      <c r="B3" s="2">
        <v>1</v>
      </c>
      <c r="C3" s="2" t="s">
        <v>6</v>
      </c>
      <c r="D3" s="2" t="s">
        <v>7</v>
      </c>
      <c r="E3" s="36">
        <v>46090</v>
      </c>
      <c r="F3" s="36">
        <v>46093</v>
      </c>
      <c r="G3" s="2">
        <v>4</v>
      </c>
    </row>
    <row r="4" spans="2:7">
      <c r="B4" s="2">
        <v>1.1000000000000001</v>
      </c>
      <c r="C4" s="2" t="s">
        <v>6</v>
      </c>
      <c r="D4" s="2" t="s">
        <v>8</v>
      </c>
      <c r="E4" s="36">
        <v>46093</v>
      </c>
      <c r="F4" s="36">
        <v>46094</v>
      </c>
      <c r="G4" s="2">
        <v>2</v>
      </c>
    </row>
    <row r="5" spans="2:7" ht="35.1">
      <c r="B5" s="2">
        <v>1.2</v>
      </c>
      <c r="C5" s="2" t="s">
        <v>6</v>
      </c>
      <c r="D5" s="2" t="s">
        <v>9</v>
      </c>
      <c r="E5" s="36">
        <v>46094</v>
      </c>
      <c r="F5" s="36">
        <v>46097</v>
      </c>
      <c r="G5" s="2">
        <v>2</v>
      </c>
    </row>
    <row r="6" spans="2:7" ht="52.7">
      <c r="B6" s="2">
        <v>2</v>
      </c>
      <c r="C6" s="2" t="s">
        <v>10</v>
      </c>
      <c r="D6" s="2" t="s">
        <v>11</v>
      </c>
      <c r="E6" s="36">
        <v>46098</v>
      </c>
      <c r="F6" s="36">
        <v>46099</v>
      </c>
      <c r="G6" s="2">
        <v>2</v>
      </c>
    </row>
    <row r="7" spans="2:7" ht="35.1">
      <c r="B7" s="2">
        <v>2.1</v>
      </c>
      <c r="C7" s="2" t="s">
        <v>10</v>
      </c>
      <c r="D7" s="2" t="s">
        <v>12</v>
      </c>
      <c r="E7" s="36">
        <v>46100</v>
      </c>
      <c r="F7" s="36">
        <v>46101</v>
      </c>
      <c r="G7" s="2">
        <v>2</v>
      </c>
    </row>
    <row r="8" spans="2:7" ht="35.1">
      <c r="B8" s="2">
        <v>2.2000000000000002</v>
      </c>
      <c r="C8" s="2" t="s">
        <v>10</v>
      </c>
      <c r="D8" s="2" t="s">
        <v>13</v>
      </c>
      <c r="E8" s="36">
        <v>46102</v>
      </c>
      <c r="F8" s="36">
        <v>46103</v>
      </c>
      <c r="G8" s="2">
        <v>2</v>
      </c>
    </row>
    <row r="9" spans="2:7" ht="35.1">
      <c r="B9" s="2">
        <v>2.2999999999999998</v>
      </c>
      <c r="C9" s="2" t="s">
        <v>10</v>
      </c>
      <c r="D9" s="2" t="s">
        <v>14</v>
      </c>
      <c r="E9" s="36">
        <v>46104</v>
      </c>
      <c r="F9" s="36">
        <v>46105</v>
      </c>
      <c r="G9" s="2">
        <v>2</v>
      </c>
    </row>
    <row r="10" spans="2:7" ht="35.1">
      <c r="B10" s="2">
        <v>2.4</v>
      </c>
      <c r="C10" s="2" t="s">
        <v>10</v>
      </c>
      <c r="D10" s="2" t="s">
        <v>15</v>
      </c>
      <c r="E10" s="36">
        <v>46106</v>
      </c>
      <c r="F10" s="36">
        <v>46107</v>
      </c>
      <c r="G10" s="2">
        <v>2</v>
      </c>
    </row>
    <row r="11" spans="2:7" ht="52.7">
      <c r="B11" s="2">
        <v>2.5</v>
      </c>
      <c r="C11" s="2" t="s">
        <v>10</v>
      </c>
      <c r="D11" s="2" t="s">
        <v>16</v>
      </c>
      <c r="E11" s="36">
        <v>46108</v>
      </c>
      <c r="F11" s="36">
        <v>46110</v>
      </c>
      <c r="G11" s="2">
        <v>3</v>
      </c>
    </row>
    <row r="12" spans="2:7" ht="35.1">
      <c r="B12" s="2">
        <v>3</v>
      </c>
      <c r="C12" s="2" t="s">
        <v>17</v>
      </c>
      <c r="D12" s="2" t="s">
        <v>18</v>
      </c>
      <c r="E12" s="36">
        <v>46111</v>
      </c>
      <c r="F12" s="36">
        <v>46111</v>
      </c>
      <c r="G12" s="2">
        <v>1</v>
      </c>
    </row>
    <row r="13" spans="2:7" ht="35.1">
      <c r="B13" s="2">
        <v>3.1</v>
      </c>
      <c r="C13" s="2" t="s">
        <v>17</v>
      </c>
      <c r="D13" s="2" t="s">
        <v>19</v>
      </c>
      <c r="E13" s="36">
        <v>46112</v>
      </c>
      <c r="F13" s="36">
        <v>46113</v>
      </c>
      <c r="G13" s="2">
        <v>2</v>
      </c>
    </row>
    <row r="14" spans="2:7" ht="35.1">
      <c r="B14" s="2">
        <v>3.2</v>
      </c>
      <c r="C14" s="2" t="s">
        <v>17</v>
      </c>
      <c r="D14" s="2" t="s">
        <v>20</v>
      </c>
      <c r="E14" s="36">
        <v>46114</v>
      </c>
      <c r="F14" s="36">
        <v>46114</v>
      </c>
      <c r="G14" s="2">
        <v>1</v>
      </c>
    </row>
    <row r="15" spans="2:7" ht="35.1">
      <c r="B15" s="2">
        <v>4</v>
      </c>
      <c r="C15" s="2" t="s">
        <v>21</v>
      </c>
      <c r="D15" s="2" t="s">
        <v>22</v>
      </c>
      <c r="E15" s="36">
        <v>46115</v>
      </c>
      <c r="F15" s="36">
        <v>46115</v>
      </c>
      <c r="G15" s="2">
        <v>1</v>
      </c>
    </row>
    <row r="16" spans="2:7" ht="35.1">
      <c r="B16" s="2">
        <v>4.0999999999999996</v>
      </c>
      <c r="C16" s="2" t="s">
        <v>21</v>
      </c>
      <c r="D16" s="2" t="s">
        <v>23</v>
      </c>
      <c r="E16" s="36">
        <v>46116</v>
      </c>
      <c r="F16" s="36">
        <v>46116</v>
      </c>
      <c r="G16" s="2">
        <v>1</v>
      </c>
    </row>
    <row r="17" spans="2:7" ht="35.1">
      <c r="B17" s="2">
        <v>4.2</v>
      </c>
      <c r="C17" s="2" t="s">
        <v>21</v>
      </c>
      <c r="D17" s="2" t="s">
        <v>24</v>
      </c>
      <c r="E17" s="36">
        <v>46117</v>
      </c>
      <c r="F17" s="36">
        <v>46117</v>
      </c>
      <c r="G17" s="2">
        <v>1</v>
      </c>
    </row>
    <row r="18" spans="2:7">
      <c r="B18" s="2">
        <v>5</v>
      </c>
      <c r="C18" s="2" t="s">
        <v>25</v>
      </c>
      <c r="D18" s="2" t="s">
        <v>26</v>
      </c>
      <c r="E18" s="36">
        <v>46118</v>
      </c>
      <c r="F18" s="36">
        <v>46119</v>
      </c>
      <c r="G18" s="2">
        <v>2</v>
      </c>
    </row>
    <row r="19" spans="2:7" ht="35.1">
      <c r="B19" s="2">
        <v>5.0999999999999996</v>
      </c>
      <c r="C19" s="2" t="s">
        <v>25</v>
      </c>
      <c r="D19" s="2" t="s">
        <v>27</v>
      </c>
      <c r="E19" s="36">
        <v>46120</v>
      </c>
      <c r="F19" s="36">
        <v>46120</v>
      </c>
      <c r="G19" s="2">
        <v>1</v>
      </c>
    </row>
    <row r="20" spans="2:7" ht="52.7">
      <c r="B20" s="2">
        <v>5.2</v>
      </c>
      <c r="C20" s="2" t="s">
        <v>25</v>
      </c>
      <c r="D20" s="2" t="s">
        <v>28</v>
      </c>
      <c r="E20" s="36">
        <v>46121</v>
      </c>
      <c r="F20" s="36">
        <v>46122</v>
      </c>
      <c r="G20" s="2">
        <v>2</v>
      </c>
    </row>
    <row r="21" spans="2:7" ht="35.1">
      <c r="B21" s="2">
        <v>5.3</v>
      </c>
      <c r="C21" s="2" t="s">
        <v>25</v>
      </c>
      <c r="D21" s="2" t="s">
        <v>29</v>
      </c>
      <c r="E21" s="36">
        <v>46123</v>
      </c>
      <c r="F21" s="36">
        <v>46124</v>
      </c>
      <c r="G21" s="2">
        <v>2</v>
      </c>
    </row>
    <row r="22" spans="2:7">
      <c r="B22" s="2">
        <v>6</v>
      </c>
      <c r="C22" s="2" t="s">
        <v>30</v>
      </c>
      <c r="D22" s="2" t="s">
        <v>31</v>
      </c>
      <c r="E22" s="36">
        <v>46125</v>
      </c>
      <c r="F22" s="36">
        <v>46125</v>
      </c>
      <c r="G22" s="2">
        <v>1</v>
      </c>
    </row>
    <row r="23" spans="2:7" ht="35.1">
      <c r="B23" s="2">
        <v>6.1</v>
      </c>
      <c r="C23" s="2" t="s">
        <v>30</v>
      </c>
      <c r="D23" s="2" t="s">
        <v>32</v>
      </c>
      <c r="E23" s="36">
        <v>46126</v>
      </c>
      <c r="F23" s="36">
        <v>46126</v>
      </c>
      <c r="G23" s="2">
        <v>1</v>
      </c>
    </row>
    <row r="24" spans="2:7" ht="52.7">
      <c r="B24" s="2">
        <v>6.2</v>
      </c>
      <c r="C24" s="2" t="s">
        <v>30</v>
      </c>
      <c r="D24" s="2" t="s">
        <v>33</v>
      </c>
      <c r="E24" s="36">
        <v>46127</v>
      </c>
      <c r="F24" s="36">
        <v>46127</v>
      </c>
      <c r="G24" s="2">
        <v>1</v>
      </c>
    </row>
    <row r="25" spans="2:7" ht="52.7">
      <c r="B25" s="2">
        <v>6.3</v>
      </c>
      <c r="C25" s="2" t="s">
        <v>30</v>
      </c>
      <c r="D25" s="2" t="s">
        <v>34</v>
      </c>
      <c r="E25" s="36">
        <v>46128</v>
      </c>
      <c r="F25" s="36">
        <v>46128</v>
      </c>
      <c r="G25" s="2">
        <v>1</v>
      </c>
    </row>
    <row r="26" spans="2:7" ht="35.1">
      <c r="B26" s="2">
        <v>7</v>
      </c>
      <c r="C26" s="2" t="s">
        <v>35</v>
      </c>
      <c r="D26" s="2" t="s">
        <v>36</v>
      </c>
      <c r="E26" s="36">
        <v>46129</v>
      </c>
      <c r="F26" s="36">
        <v>46129</v>
      </c>
      <c r="G26" s="2">
        <v>1</v>
      </c>
    </row>
    <row r="27" spans="2:7">
      <c r="B27" t="s">
        <v>37</v>
      </c>
    </row>
    <row r="28" spans="2:7">
      <c r="B28" t="s">
        <v>38</v>
      </c>
    </row>
    <row r="29" spans="2:7">
      <c r="B29"/>
    </row>
    <row r="30" spans="2:7">
      <c r="B30" t="s">
        <v>39</v>
      </c>
    </row>
    <row r="31" spans="2:7">
      <c r="B31" t="s">
        <v>40</v>
      </c>
    </row>
    <row r="32" spans="2:7">
      <c r="B32" t="s">
        <v>41</v>
      </c>
    </row>
    <row r="33" spans="2:2">
      <c r="B33"/>
    </row>
    <row r="34" spans="2:2">
      <c r="B34" t="s">
        <v>42</v>
      </c>
    </row>
    <row r="35" spans="2:2">
      <c r="B35" t="s">
        <v>43</v>
      </c>
    </row>
    <row r="36" spans="2:2">
      <c r="B36" t="s">
        <v>44</v>
      </c>
    </row>
    <row r="37" spans="2:2">
      <c r="B37" t="s">
        <v>45</v>
      </c>
    </row>
    <row r="38" spans="2:2">
      <c r="B38"/>
    </row>
    <row r="39" spans="2:2">
      <c r="B39" t="s">
        <v>46</v>
      </c>
    </row>
    <row r="40" spans="2:2">
      <c r="B40" t="s">
        <v>47</v>
      </c>
    </row>
    <row r="41" spans="2:2">
      <c r="B41" t="s">
        <v>48</v>
      </c>
    </row>
    <row r="42" spans="2:2">
      <c r="B42"/>
    </row>
    <row r="43" spans="2:2">
      <c r="B43" t="s">
        <v>49</v>
      </c>
    </row>
    <row r="44" spans="2:2">
      <c r="B44" t="s">
        <v>50</v>
      </c>
    </row>
    <row r="45" spans="2:2">
      <c r="B45" t="s">
        <v>51</v>
      </c>
    </row>
    <row r="46" spans="2:2">
      <c r="B46" t="s">
        <v>52</v>
      </c>
    </row>
    <row r="47" spans="2:2">
      <c r="B47" t="s">
        <v>53</v>
      </c>
    </row>
    <row r="48" spans="2:2">
      <c r="B48"/>
    </row>
    <row r="49" spans="2:2">
      <c r="B49"/>
    </row>
    <row r="50" spans="2:2">
      <c r="B50" t="s">
        <v>54</v>
      </c>
    </row>
    <row r="51" spans="2:2">
      <c r="B51" t="s">
        <v>55</v>
      </c>
    </row>
    <row r="52" spans="2:2">
      <c r="B52" t="s">
        <v>56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9D1E4-B2C6-44AB-AD95-8E256CF0C446}">
  <dimension ref="B1:AJ32"/>
  <sheetViews>
    <sheetView showGridLines="0" zoomScale="40" zoomScaleNormal="40" zoomScaleSheetLayoutView="100" workbookViewId="0">
      <pane xSplit="5" ySplit="2" topLeftCell="F3" activePane="bottomRight" state="frozen"/>
      <selection pane="bottomRight" activeCell="J20" sqref="J20"/>
      <selection pane="bottomLeft" activeCell="A3" sqref="A3"/>
      <selection pane="topRight" activeCell="F1" sqref="F1"/>
    </sheetView>
    <sheetView tabSelected="1" zoomScale="55" zoomScaleNormal="55" workbookViewId="1">
      <pane xSplit="6" ySplit="2" topLeftCell="W3" activePane="bottomRight" state="frozen"/>
      <selection pane="bottomRight" activeCell="AI29" sqref="AI29"/>
      <selection pane="bottomLeft" activeCell="A3" sqref="A3"/>
      <selection pane="topRight" activeCell="G1" sqref="G1"/>
    </sheetView>
  </sheetViews>
  <sheetFormatPr defaultColWidth="8.875" defaultRowHeight="12.95"/>
  <cols>
    <col min="1" max="1" width="8.875" style="3"/>
    <col min="2" max="2" width="6" style="13" customWidth="1"/>
    <col min="3" max="3" width="31.25" style="3" customWidth="1"/>
    <col min="4" max="5" width="11.375" style="13" bestFit="1" customWidth="1"/>
    <col min="6" max="6" width="8.875" style="13"/>
    <col min="7" max="17" width="7.75" style="3" customWidth="1"/>
    <col min="18" max="18" width="7.625" style="3" customWidth="1"/>
    <col min="19" max="34" width="7.75" style="3" customWidth="1"/>
    <col min="35" max="35" width="9.125" style="3" customWidth="1"/>
    <col min="36" max="36" width="7.75" style="3" customWidth="1"/>
    <col min="37" max="16384" width="8.875" style="3"/>
  </cols>
  <sheetData>
    <row r="1" spans="2:36" ht="13.35" thickBot="1"/>
    <row r="2" spans="2:36" ht="24" customHeight="1" thickBot="1">
      <c r="B2" s="24" t="s">
        <v>57</v>
      </c>
      <c r="C2" s="25" t="s">
        <v>58</v>
      </c>
      <c r="D2" s="25" t="s">
        <v>3</v>
      </c>
      <c r="E2" s="25" t="s">
        <v>4</v>
      </c>
      <c r="F2" s="25" t="s">
        <v>5</v>
      </c>
      <c r="G2" s="26">
        <v>46090</v>
      </c>
      <c r="H2" s="27">
        <v>46091</v>
      </c>
      <c r="I2" s="27">
        <v>46092</v>
      </c>
      <c r="J2" s="27">
        <v>46093</v>
      </c>
      <c r="K2" s="27">
        <v>46094</v>
      </c>
      <c r="L2" s="27">
        <v>46097</v>
      </c>
      <c r="M2" s="27">
        <v>46098</v>
      </c>
      <c r="N2" s="27">
        <v>46099</v>
      </c>
      <c r="O2" s="27">
        <v>46100</v>
      </c>
      <c r="P2" s="27">
        <v>46101</v>
      </c>
      <c r="Q2" s="27">
        <v>46104</v>
      </c>
      <c r="R2" s="27">
        <v>46105</v>
      </c>
      <c r="S2" s="27">
        <v>46106</v>
      </c>
      <c r="T2" s="27">
        <v>46107</v>
      </c>
      <c r="U2" s="27">
        <v>46108</v>
      </c>
      <c r="V2" s="27">
        <v>46111</v>
      </c>
      <c r="W2" s="27">
        <v>46112</v>
      </c>
      <c r="X2" s="27">
        <v>46113</v>
      </c>
      <c r="Y2" s="27">
        <v>46114</v>
      </c>
      <c r="Z2" s="27">
        <v>46115</v>
      </c>
      <c r="AA2" s="27">
        <v>46118</v>
      </c>
      <c r="AB2" s="27">
        <v>46119</v>
      </c>
      <c r="AC2" s="27">
        <v>46120</v>
      </c>
      <c r="AD2" s="27">
        <v>46121</v>
      </c>
      <c r="AE2" s="27">
        <v>46122</v>
      </c>
      <c r="AF2" s="27">
        <v>46125</v>
      </c>
      <c r="AG2" s="27">
        <v>46126</v>
      </c>
      <c r="AH2" s="27">
        <v>46127</v>
      </c>
      <c r="AI2" s="27">
        <v>46128</v>
      </c>
      <c r="AJ2" s="28">
        <v>46129</v>
      </c>
    </row>
    <row r="3" spans="2:36" ht="24" customHeight="1" thickTop="1">
      <c r="B3" s="29">
        <v>1</v>
      </c>
      <c r="C3" s="4" t="s">
        <v>6</v>
      </c>
      <c r="D3" s="5">
        <f>MIN(D4:D6)</f>
        <v>46090</v>
      </c>
      <c r="E3" s="5">
        <f>MAX(E4:E6)</f>
        <v>46097</v>
      </c>
      <c r="F3" s="6">
        <f>NETWORKDAYS(D3,E3)</f>
        <v>6</v>
      </c>
      <c r="G3" s="65" t="s">
        <v>59</v>
      </c>
      <c r="H3" s="66"/>
      <c r="I3" s="66"/>
      <c r="J3" s="66"/>
      <c r="K3" s="66"/>
      <c r="L3" s="67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30"/>
    </row>
    <row r="4" spans="2:36" ht="24" customHeight="1">
      <c r="B4" s="31">
        <v>1.1000000000000001</v>
      </c>
      <c r="C4" s="8" t="s">
        <v>60</v>
      </c>
      <c r="D4" s="9">
        <v>46090</v>
      </c>
      <c r="E4" s="9">
        <v>46093</v>
      </c>
      <c r="F4" s="7">
        <f t="shared" ref="F4:F6" si="0">NETWORKDAYS(D4,E4)</f>
        <v>4</v>
      </c>
      <c r="G4" s="68" t="s">
        <v>60</v>
      </c>
      <c r="H4" s="69"/>
      <c r="I4" s="69"/>
      <c r="J4" s="70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32"/>
    </row>
    <row r="5" spans="2:36" ht="24" customHeight="1">
      <c r="B5" s="31">
        <v>1.2</v>
      </c>
      <c r="C5" s="8" t="s">
        <v>61</v>
      </c>
      <c r="D5" s="9">
        <v>46093</v>
      </c>
      <c r="E5" s="9">
        <v>46094</v>
      </c>
      <c r="F5" s="7">
        <f t="shared" si="0"/>
        <v>2</v>
      </c>
      <c r="G5" s="16"/>
      <c r="H5" s="15"/>
      <c r="I5" s="15"/>
      <c r="J5" s="71" t="s">
        <v>61</v>
      </c>
      <c r="K5" s="70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32"/>
    </row>
    <row r="6" spans="2:36" ht="24" customHeight="1" thickBot="1">
      <c r="B6" s="33">
        <v>1.3</v>
      </c>
      <c r="C6" s="11" t="s">
        <v>62</v>
      </c>
      <c r="D6" s="12">
        <v>46094</v>
      </c>
      <c r="E6" s="12">
        <v>46097</v>
      </c>
      <c r="F6" s="10">
        <f t="shared" si="0"/>
        <v>2</v>
      </c>
      <c r="G6" s="17"/>
      <c r="H6" s="18"/>
      <c r="I6" s="18"/>
      <c r="J6" s="18"/>
      <c r="K6" s="72" t="s">
        <v>62</v>
      </c>
      <c r="L6" s="73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34"/>
    </row>
    <row r="7" spans="2:36" ht="24" customHeight="1">
      <c r="B7" s="29">
        <v>2</v>
      </c>
      <c r="C7" s="4" t="s">
        <v>63</v>
      </c>
      <c r="D7" s="5">
        <f>MIN(D8)</f>
        <v>46098</v>
      </c>
      <c r="E7" s="5">
        <f>MAX(E8)</f>
        <v>46099</v>
      </c>
      <c r="F7" s="6">
        <f>NETWORKDAYS(D7,E7)</f>
        <v>2</v>
      </c>
      <c r="G7" s="15"/>
      <c r="H7" s="15"/>
      <c r="I7" s="15"/>
      <c r="J7" s="15"/>
      <c r="K7" s="15"/>
      <c r="L7" s="15"/>
      <c r="M7" s="52" t="s">
        <v>63</v>
      </c>
      <c r="N7" s="54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32"/>
    </row>
    <row r="8" spans="2:36" ht="24" customHeight="1" thickBot="1">
      <c r="B8" s="33">
        <v>2.1</v>
      </c>
      <c r="C8" s="11" t="s">
        <v>64</v>
      </c>
      <c r="D8" s="12">
        <v>46098</v>
      </c>
      <c r="E8" s="12">
        <v>46099</v>
      </c>
      <c r="F8" s="10">
        <f>NETWORKDAYS(D8,E8)</f>
        <v>2</v>
      </c>
      <c r="G8" s="18"/>
      <c r="H8" s="18"/>
      <c r="I8" s="18"/>
      <c r="J8" s="18"/>
      <c r="K8" s="18"/>
      <c r="L8" s="18"/>
      <c r="M8" s="74" t="s">
        <v>65</v>
      </c>
      <c r="N8" s="75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34"/>
    </row>
    <row r="9" spans="2:36" ht="24" customHeight="1">
      <c r="B9" s="29">
        <v>3</v>
      </c>
      <c r="C9" s="4" t="s">
        <v>66</v>
      </c>
      <c r="D9" s="5">
        <v>46100</v>
      </c>
      <c r="E9" s="5">
        <v>46105</v>
      </c>
      <c r="F9" s="6">
        <f>NETWORKDAYS(D9,E9)</f>
        <v>4</v>
      </c>
      <c r="G9" s="19"/>
      <c r="H9" s="19"/>
      <c r="I9" s="19"/>
      <c r="J9" s="19"/>
      <c r="K9" s="19"/>
      <c r="L9" s="19"/>
      <c r="M9" s="19"/>
      <c r="N9" s="19"/>
      <c r="O9" s="52" t="s">
        <v>67</v>
      </c>
      <c r="P9" s="53"/>
      <c r="Q9" s="53"/>
      <c r="R9" s="54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35"/>
    </row>
    <row r="10" spans="2:36" ht="24" customHeight="1">
      <c r="B10" s="31">
        <v>3.1</v>
      </c>
      <c r="C10" s="8" t="s">
        <v>68</v>
      </c>
      <c r="D10" s="9">
        <v>46100</v>
      </c>
      <c r="E10" s="9">
        <v>46101</v>
      </c>
      <c r="F10" s="7">
        <f t="shared" ref="F10:F13" si="1">NETWORKDAYS(D10,E10)</f>
        <v>2</v>
      </c>
      <c r="G10" s="15"/>
      <c r="H10" s="15"/>
      <c r="I10" s="15"/>
      <c r="J10" s="15"/>
      <c r="K10" s="15"/>
      <c r="L10" s="15"/>
      <c r="M10" s="15"/>
      <c r="N10" s="15"/>
      <c r="O10" s="63" t="s">
        <v>69</v>
      </c>
      <c r="P10" s="64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32"/>
    </row>
    <row r="11" spans="2:36" ht="24" customHeight="1">
      <c r="B11" s="31">
        <v>3.2</v>
      </c>
      <c r="C11" s="8" t="s">
        <v>70</v>
      </c>
      <c r="D11" s="9">
        <v>46104</v>
      </c>
      <c r="E11" s="9">
        <v>46104</v>
      </c>
      <c r="F11" s="7">
        <f t="shared" si="1"/>
        <v>1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2" t="s">
        <v>71</v>
      </c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32"/>
    </row>
    <row r="12" spans="2:36" ht="24" customHeight="1">
      <c r="B12" s="31">
        <v>3.3</v>
      </c>
      <c r="C12" s="8" t="s">
        <v>72</v>
      </c>
      <c r="D12" s="9">
        <v>46105</v>
      </c>
      <c r="E12" s="9">
        <v>46105</v>
      </c>
      <c r="F12" s="7">
        <f t="shared" ref="F12" si="2">NETWORKDAYS(D12,E12)</f>
        <v>1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22" t="s">
        <v>73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32"/>
    </row>
    <row r="13" spans="2:36" ht="24" customHeight="1" thickBot="1">
      <c r="B13" s="33">
        <v>3.4</v>
      </c>
      <c r="C13" s="11" t="s">
        <v>74</v>
      </c>
      <c r="D13" s="12">
        <v>46105</v>
      </c>
      <c r="E13" s="12">
        <v>46105</v>
      </c>
      <c r="F13" s="10">
        <f t="shared" si="1"/>
        <v>1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23" t="s">
        <v>75</v>
      </c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34"/>
    </row>
    <row r="14" spans="2:36" ht="24" customHeight="1">
      <c r="B14" s="29">
        <v>4</v>
      </c>
      <c r="C14" s="4" t="s">
        <v>76</v>
      </c>
      <c r="D14" s="5">
        <v>46106</v>
      </c>
      <c r="E14" s="5">
        <v>46111</v>
      </c>
      <c r="F14" s="6">
        <f>NETWORKDAYS(D14,E14)</f>
        <v>4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52" t="s">
        <v>76</v>
      </c>
      <c r="T14" s="53"/>
      <c r="U14" s="53"/>
      <c r="V14" s="54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35"/>
    </row>
    <row r="15" spans="2:36" ht="28.5" customHeight="1">
      <c r="B15" s="31">
        <v>4.0999999999999996</v>
      </c>
      <c r="C15" s="8" t="s">
        <v>77</v>
      </c>
      <c r="D15" s="9">
        <v>46106</v>
      </c>
      <c r="E15" s="9">
        <v>46106</v>
      </c>
      <c r="F15" s="7">
        <f t="shared" ref="F15:F30" si="3">NETWORKDAYS(D15,E15)</f>
        <v>1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43" t="s">
        <v>78</v>
      </c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32"/>
    </row>
    <row r="16" spans="2:36" ht="28.5" customHeight="1">
      <c r="B16" s="38">
        <v>4.2</v>
      </c>
      <c r="C16" s="39" t="s">
        <v>79</v>
      </c>
      <c r="D16" s="40">
        <v>46107</v>
      </c>
      <c r="E16" s="40">
        <v>46108</v>
      </c>
      <c r="F16" s="41">
        <f t="shared" si="3"/>
        <v>2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57" t="s">
        <v>79</v>
      </c>
      <c r="U16" s="58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32"/>
    </row>
    <row r="17" spans="2:36" ht="28.5" customHeight="1" thickBot="1">
      <c r="B17" s="33">
        <v>4.3</v>
      </c>
      <c r="C17" s="11" t="s">
        <v>80</v>
      </c>
      <c r="D17" s="12">
        <v>46111</v>
      </c>
      <c r="E17" s="12">
        <v>46111</v>
      </c>
      <c r="F17" s="10">
        <f t="shared" si="3"/>
        <v>1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37" t="s">
        <v>81</v>
      </c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34"/>
    </row>
    <row r="18" spans="2:36" ht="24" customHeight="1">
      <c r="B18" s="29">
        <v>5</v>
      </c>
      <c r="C18" s="4" t="s">
        <v>82</v>
      </c>
      <c r="D18" s="5">
        <v>46112</v>
      </c>
      <c r="E18" s="5">
        <v>46114</v>
      </c>
      <c r="F18" s="6">
        <f>NETWORKDAYS(D18,E18)</f>
        <v>3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52" t="s">
        <v>83</v>
      </c>
      <c r="X18" s="53"/>
      <c r="Y18" s="54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35"/>
    </row>
    <row r="19" spans="2:36" ht="24" customHeight="1">
      <c r="B19" s="31">
        <v>5.0999999999999996</v>
      </c>
      <c r="C19" s="8" t="s">
        <v>84</v>
      </c>
      <c r="D19" s="9">
        <v>46112</v>
      </c>
      <c r="E19" s="9">
        <v>46112</v>
      </c>
      <c r="F19" s="7">
        <f t="shared" si="3"/>
        <v>1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46" t="s">
        <v>85</v>
      </c>
      <c r="X19" s="45"/>
      <c r="Y19" s="4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32"/>
    </row>
    <row r="20" spans="2:36" ht="24" customHeight="1">
      <c r="B20" s="31">
        <v>5.2</v>
      </c>
      <c r="C20" s="8" t="s">
        <v>86</v>
      </c>
      <c r="D20" s="9">
        <v>46113</v>
      </c>
      <c r="E20" s="9">
        <v>46113</v>
      </c>
      <c r="F20" s="7">
        <f t="shared" ref="F20:F21" si="4">NETWORKDAYS(D20,E20)</f>
        <v>1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45"/>
      <c r="X20" s="46" t="s">
        <v>87</v>
      </c>
      <c r="Y20" s="4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32"/>
    </row>
    <row r="21" spans="2:36" ht="24" customHeight="1" thickBot="1">
      <c r="B21" s="33">
        <v>5.3</v>
      </c>
      <c r="C21" s="11" t="s">
        <v>88</v>
      </c>
      <c r="D21" s="12">
        <v>46114</v>
      </c>
      <c r="E21" s="12">
        <v>46114</v>
      </c>
      <c r="F21" s="10">
        <f t="shared" si="4"/>
        <v>1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44"/>
      <c r="X21" s="44"/>
      <c r="Y21" s="47" t="s">
        <v>89</v>
      </c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34"/>
    </row>
    <row r="22" spans="2:36" ht="24" customHeight="1">
      <c r="B22" s="29">
        <v>6</v>
      </c>
      <c r="C22" s="4" t="s">
        <v>90</v>
      </c>
      <c r="D22" s="5">
        <v>46115</v>
      </c>
      <c r="E22" s="5">
        <v>46121</v>
      </c>
      <c r="F22" s="6">
        <f>NETWORKDAYS(D22,E22)</f>
        <v>5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52" t="s">
        <v>90</v>
      </c>
      <c r="AA22" s="53"/>
      <c r="AB22" s="53"/>
      <c r="AC22" s="53"/>
      <c r="AD22" s="54"/>
      <c r="AE22" s="19"/>
      <c r="AF22" s="19"/>
      <c r="AG22" s="19"/>
      <c r="AH22" s="19"/>
      <c r="AI22" s="19"/>
      <c r="AJ22" s="35"/>
    </row>
    <row r="23" spans="2:36" ht="24" customHeight="1">
      <c r="B23" s="31">
        <v>6.1</v>
      </c>
      <c r="C23" s="8" t="s">
        <v>91</v>
      </c>
      <c r="D23" s="9">
        <v>46115</v>
      </c>
      <c r="E23" s="9">
        <v>46118</v>
      </c>
      <c r="F23" s="7">
        <f t="shared" si="3"/>
        <v>2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59" t="s">
        <v>92</v>
      </c>
      <c r="AA23" s="60"/>
      <c r="AB23" s="15"/>
      <c r="AC23" s="15"/>
      <c r="AD23" s="15"/>
      <c r="AE23" s="15"/>
      <c r="AF23" s="15"/>
      <c r="AG23" s="15"/>
      <c r="AH23" s="15"/>
      <c r="AI23" s="15"/>
      <c r="AJ23" s="32"/>
    </row>
    <row r="24" spans="2:36" ht="24" customHeight="1">
      <c r="B24" s="38">
        <v>6.2</v>
      </c>
      <c r="C24" s="39" t="s">
        <v>93</v>
      </c>
      <c r="D24" s="40">
        <v>46119</v>
      </c>
      <c r="E24" s="40">
        <v>46119</v>
      </c>
      <c r="F24" s="7">
        <f t="shared" si="3"/>
        <v>1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43" t="s">
        <v>94</v>
      </c>
      <c r="AC24" s="15"/>
      <c r="AD24" s="15"/>
      <c r="AE24" s="15"/>
      <c r="AF24" s="15"/>
      <c r="AG24" s="15"/>
      <c r="AH24" s="15"/>
      <c r="AI24" s="15"/>
      <c r="AJ24" s="32"/>
    </row>
    <row r="25" spans="2:36" ht="24" customHeight="1" thickBot="1">
      <c r="B25" s="33">
        <v>6.3</v>
      </c>
      <c r="C25" s="11" t="s">
        <v>95</v>
      </c>
      <c r="D25" s="12">
        <v>46120</v>
      </c>
      <c r="E25" s="12">
        <v>46121</v>
      </c>
      <c r="F25" s="10">
        <f t="shared" si="3"/>
        <v>2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61" t="s">
        <v>96</v>
      </c>
      <c r="AD25" s="62"/>
      <c r="AE25" s="18"/>
      <c r="AF25" s="18"/>
      <c r="AG25" s="18"/>
      <c r="AH25" s="18"/>
      <c r="AI25" s="18"/>
      <c r="AJ25" s="34"/>
    </row>
    <row r="26" spans="2:36" ht="24" customHeight="1">
      <c r="B26" s="29">
        <v>7</v>
      </c>
      <c r="C26" s="4" t="s">
        <v>97</v>
      </c>
      <c r="D26" s="5">
        <v>46122</v>
      </c>
      <c r="E26" s="5">
        <v>46128</v>
      </c>
      <c r="F26" s="6">
        <f>NETWORKDAYS(D26,E26)</f>
        <v>5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52" t="s">
        <v>97</v>
      </c>
      <c r="AF26" s="53"/>
      <c r="AG26" s="53"/>
      <c r="AH26" s="53"/>
      <c r="AI26" s="54"/>
      <c r="AJ26" s="35"/>
    </row>
    <row r="27" spans="2:36" ht="30.75" customHeight="1">
      <c r="B27" s="31">
        <v>7.1</v>
      </c>
      <c r="C27" s="21" t="s">
        <v>98</v>
      </c>
      <c r="D27" s="9">
        <v>46122</v>
      </c>
      <c r="E27" s="9">
        <v>46122</v>
      </c>
      <c r="F27" s="7">
        <f t="shared" si="3"/>
        <v>1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48" t="s">
        <v>99</v>
      </c>
      <c r="AF27" s="45"/>
      <c r="AG27" s="45"/>
      <c r="AH27" s="45"/>
      <c r="AI27" s="45"/>
      <c r="AJ27" s="32"/>
    </row>
    <row r="28" spans="2:36" ht="27.4" customHeight="1">
      <c r="B28" s="31">
        <v>7.2</v>
      </c>
      <c r="C28" s="8" t="s">
        <v>100</v>
      </c>
      <c r="D28" s="9">
        <v>46125</v>
      </c>
      <c r="E28" s="9">
        <v>46125</v>
      </c>
      <c r="F28" s="7">
        <f t="shared" si="3"/>
        <v>1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45"/>
      <c r="AF28" s="48" t="s">
        <v>101</v>
      </c>
      <c r="AG28" s="45"/>
      <c r="AH28" s="45"/>
      <c r="AI28" s="45"/>
      <c r="AJ28" s="32"/>
    </row>
    <row r="29" spans="2:36" ht="24" customHeight="1">
      <c r="B29" s="31">
        <v>7.3</v>
      </c>
      <c r="C29" s="8" t="s">
        <v>102</v>
      </c>
      <c r="D29" s="9">
        <v>46126</v>
      </c>
      <c r="E29" s="9">
        <v>46127</v>
      </c>
      <c r="F29" s="7">
        <f t="shared" si="3"/>
        <v>2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45"/>
      <c r="AF29" s="45"/>
      <c r="AG29" s="55" t="s">
        <v>103</v>
      </c>
      <c r="AH29" s="56"/>
      <c r="AI29" s="45"/>
      <c r="AJ29" s="32"/>
    </row>
    <row r="30" spans="2:36" ht="30" customHeight="1" thickBot="1">
      <c r="B30" s="33">
        <v>7.4</v>
      </c>
      <c r="C30" s="11" t="s">
        <v>104</v>
      </c>
      <c r="D30" s="12">
        <v>46128</v>
      </c>
      <c r="E30" s="12">
        <v>46128</v>
      </c>
      <c r="F30" s="10">
        <f t="shared" si="3"/>
        <v>1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44"/>
      <c r="AF30" s="44"/>
      <c r="AG30" s="44"/>
      <c r="AH30" s="44"/>
      <c r="AI30" s="49" t="s">
        <v>105</v>
      </c>
      <c r="AJ30" s="34"/>
    </row>
    <row r="31" spans="2:36" ht="24" customHeight="1">
      <c r="B31" s="29">
        <v>8</v>
      </c>
      <c r="C31" s="4" t="s">
        <v>106</v>
      </c>
      <c r="D31" s="5">
        <v>46129</v>
      </c>
      <c r="E31" s="5">
        <f>MAX(E32:E32)</f>
        <v>46129</v>
      </c>
      <c r="F31" s="6">
        <f>NETWORKDAYS(D31,E31)</f>
        <v>1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50" t="s">
        <v>106</v>
      </c>
    </row>
    <row r="32" spans="2:36" ht="24" customHeight="1" thickBot="1">
      <c r="B32" s="33">
        <v>8.1</v>
      </c>
      <c r="C32" s="11" t="s">
        <v>107</v>
      </c>
      <c r="D32" s="12">
        <v>46129</v>
      </c>
      <c r="E32" s="12">
        <v>46129</v>
      </c>
      <c r="F32" s="10">
        <f t="shared" ref="F32" si="5">NETWORKDAYS(D32,E32)</f>
        <v>1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51" t="s">
        <v>108</v>
      </c>
    </row>
  </sheetData>
  <mergeCells count="16">
    <mergeCell ref="O9:R9"/>
    <mergeCell ref="O10:P10"/>
    <mergeCell ref="S14:V14"/>
    <mergeCell ref="G3:L3"/>
    <mergeCell ref="M7:N7"/>
    <mergeCell ref="G4:J4"/>
    <mergeCell ref="J5:K5"/>
    <mergeCell ref="K6:L6"/>
    <mergeCell ref="M8:N8"/>
    <mergeCell ref="AE26:AI26"/>
    <mergeCell ref="AG29:AH29"/>
    <mergeCell ref="T16:U16"/>
    <mergeCell ref="W18:Y18"/>
    <mergeCell ref="Z22:AD22"/>
    <mergeCell ref="Z23:AA23"/>
    <mergeCell ref="AC25:AD2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박정희</dc:creator>
  <cp:keywords/>
  <dc:description/>
  <cp:lastModifiedBy/>
  <cp:revision/>
  <dcterms:created xsi:type="dcterms:W3CDTF">2025-07-24T18:23:24Z</dcterms:created>
  <dcterms:modified xsi:type="dcterms:W3CDTF">2026-03-24T05:20:53Z</dcterms:modified>
  <cp:category/>
  <cp:contentStatus/>
</cp:coreProperties>
</file>